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轮腿式双足机器人开源资料\机械结构\"/>
    </mc:Choice>
  </mc:AlternateContent>
  <xr:revisionPtr revIDLastSave="0" documentId="13_ncr:1_{F4E9C655-6D4C-4C65-BBF7-A55406BCB5E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G55" i="1"/>
  <c r="G54" i="1"/>
  <c r="G53" i="1"/>
  <c r="G57" i="1"/>
  <c r="G58" i="1"/>
  <c r="G49" i="1"/>
  <c r="G48" i="1"/>
  <c r="G43" i="1"/>
  <c r="G42" i="1"/>
  <c r="G44" i="1"/>
  <c r="G41" i="1"/>
  <c r="G45" i="1"/>
  <c r="G46" i="1"/>
  <c r="G47" i="1"/>
  <c r="G50" i="1"/>
  <c r="G51" i="1"/>
  <c r="G52" i="1"/>
  <c r="G40" i="1"/>
  <c r="G39" i="1"/>
  <c r="G38" i="1"/>
  <c r="G37" i="1"/>
  <c r="G36" i="1"/>
  <c r="G35" i="1"/>
  <c r="G34" i="1"/>
  <c r="G32" i="1"/>
  <c r="G31" i="1"/>
  <c r="G30" i="1"/>
  <c r="G19" i="1"/>
  <c r="G20" i="1"/>
  <c r="G21" i="1"/>
  <c r="G22" i="1"/>
  <c r="G23" i="1"/>
  <c r="G24" i="1"/>
  <c r="G25" i="1"/>
  <c r="G26" i="1"/>
  <c r="G27" i="1"/>
  <c r="G28" i="1"/>
  <c r="G29" i="1"/>
  <c r="G33" i="1"/>
  <c r="G18" i="1"/>
  <c r="G17" i="1"/>
  <c r="G16" i="1"/>
  <c r="G15" i="1"/>
  <c r="G14" i="1"/>
  <c r="G13" i="1"/>
  <c r="G5" i="1" l="1"/>
  <c r="G6" i="1"/>
  <c r="G7" i="1"/>
  <c r="G8" i="1"/>
  <c r="G9" i="1"/>
  <c r="G10" i="1"/>
  <c r="G11" i="1"/>
  <c r="G12" i="1"/>
  <c r="G3" i="1"/>
  <c r="G4" i="1"/>
  <c r="G2" i="1"/>
  <c r="G59" i="1" l="1"/>
</calcChain>
</file>

<file path=xl/sharedStrings.xml><?xml version="1.0" encoding="utf-8"?>
<sst xmlns="http://schemas.openxmlformats.org/spreadsheetml/2006/main" count="245" uniqueCount="113">
  <si>
    <t>分类</t>
    <phoneticPr fontId="1" type="noConversion"/>
  </si>
  <si>
    <t>模块</t>
    <phoneticPr fontId="1" type="noConversion"/>
  </si>
  <si>
    <t>名称</t>
    <phoneticPr fontId="1" type="noConversion"/>
  </si>
  <si>
    <t>单价</t>
    <phoneticPr fontId="1" type="noConversion"/>
  </si>
  <si>
    <t>数量</t>
    <phoneticPr fontId="1" type="noConversion"/>
  </si>
  <si>
    <t>总价</t>
    <phoneticPr fontId="1" type="noConversion"/>
  </si>
  <si>
    <t>链接</t>
    <phoneticPr fontId="1" type="noConversion"/>
  </si>
  <si>
    <t>备注</t>
    <phoneticPr fontId="1" type="noConversion"/>
  </si>
  <si>
    <t>轮系</t>
    <phoneticPr fontId="1" type="noConversion"/>
  </si>
  <si>
    <t>型号</t>
    <phoneticPr fontId="1" type="noConversion"/>
  </si>
  <si>
    <t>AGV驱动轮</t>
    <phoneticPr fontId="1" type="noConversion"/>
  </si>
  <si>
    <t>六孔法兰条纹轮面</t>
    <phoneticPr fontId="1" type="noConversion"/>
  </si>
  <si>
    <t>标准件</t>
    <phoneticPr fontId="1" type="noConversion"/>
  </si>
  <si>
    <t>https://m.tb.cn/h.fS5T7IQ?sm=92c368</t>
    <phoneticPr fontId="1" type="noConversion"/>
  </si>
  <si>
    <t>轮子固定座</t>
    <phoneticPr fontId="1" type="noConversion"/>
  </si>
  <si>
    <t>机加工</t>
    <phoneticPr fontId="1" type="noConversion"/>
  </si>
  <si>
    <t>胀紧套</t>
    <phoneticPr fontId="1" type="noConversion"/>
  </si>
  <si>
    <t>z21-10×20</t>
    <phoneticPr fontId="1" type="noConversion"/>
  </si>
  <si>
    <t>https://m.tb.cn/h.fS5SDFr?sm=2cd5ce</t>
    <phoneticPr fontId="1" type="noConversion"/>
  </si>
  <si>
    <t>薄壁轴承</t>
    <phoneticPr fontId="1" type="noConversion"/>
  </si>
  <si>
    <t>6705z-25×32×4</t>
    <phoneticPr fontId="1" type="noConversion"/>
  </si>
  <si>
    <t>https://m.tb.cn/h.f7fLQcX?sm=198d1f</t>
    <phoneticPr fontId="1" type="noConversion"/>
  </si>
  <si>
    <t>连接座</t>
    <phoneticPr fontId="1" type="noConversion"/>
  </si>
  <si>
    <t>电机固定座</t>
    <phoneticPr fontId="1" type="noConversion"/>
  </si>
  <si>
    <t>轴承挡圈</t>
    <phoneticPr fontId="1" type="noConversion"/>
  </si>
  <si>
    <t>轴承档环</t>
    <phoneticPr fontId="1" type="noConversion"/>
  </si>
  <si>
    <t>5mm</t>
    <phoneticPr fontId="1" type="noConversion"/>
  </si>
  <si>
    <t>板材</t>
    <phoneticPr fontId="1" type="noConversion"/>
  </si>
  <si>
    <t>深沟球轴承</t>
    <phoneticPr fontId="1" type="noConversion"/>
  </si>
  <si>
    <t>6811zz-55×72×9</t>
    <phoneticPr fontId="1" type="noConversion"/>
  </si>
  <si>
    <t>https://m.tb.cn/h.f67zdxH?sm=89bc2b</t>
    <phoneticPr fontId="1" type="noConversion"/>
  </si>
  <si>
    <t>M3508电机</t>
    <phoneticPr fontId="1" type="noConversion"/>
  </si>
  <si>
    <t>C620电调</t>
    <phoneticPr fontId="1" type="noConversion"/>
  </si>
  <si>
    <t>M5×16螺栓</t>
    <phoneticPr fontId="1" type="noConversion"/>
  </si>
  <si>
    <t>50个</t>
    <phoneticPr fontId="1" type="noConversion"/>
  </si>
  <si>
    <t>M5×20螺栓</t>
    <phoneticPr fontId="1" type="noConversion"/>
  </si>
  <si>
    <t>M3×20螺栓</t>
    <phoneticPr fontId="1" type="noConversion"/>
  </si>
  <si>
    <t>M3×10螺栓</t>
    <phoneticPr fontId="1" type="noConversion"/>
  </si>
  <si>
    <t>M2.5×12螺栓</t>
    <phoneticPr fontId="1" type="noConversion"/>
  </si>
  <si>
    <t>20个</t>
    <phoneticPr fontId="1" type="noConversion"/>
  </si>
  <si>
    <t>M4×12螺栓</t>
    <phoneticPr fontId="1" type="noConversion"/>
  </si>
  <si>
    <t>轮腿</t>
    <phoneticPr fontId="1" type="noConversion"/>
  </si>
  <si>
    <t>内侧小腿</t>
    <phoneticPr fontId="1" type="noConversion"/>
  </si>
  <si>
    <t>12mm</t>
    <phoneticPr fontId="1" type="noConversion"/>
  </si>
  <si>
    <t>外侧小腿</t>
    <phoneticPr fontId="1" type="noConversion"/>
  </si>
  <si>
    <t>大腿</t>
    <phoneticPr fontId="1" type="noConversion"/>
  </si>
  <si>
    <t>法兰挡边轴承</t>
    <phoneticPr fontId="1" type="noConversion"/>
  </si>
  <si>
    <t>F6800ZZ-10×19×5</t>
    <phoneticPr fontId="1" type="noConversion"/>
  </si>
  <si>
    <t>https://m.tb.cn/h.fhgt2er?sm=77bc66 </t>
    <phoneticPr fontId="1" type="noConversion"/>
  </si>
  <si>
    <t>轴用卡簧</t>
    <phoneticPr fontId="1" type="noConversion"/>
  </si>
  <si>
    <t>GB894A-25mm</t>
    <phoneticPr fontId="1" type="noConversion"/>
  </si>
  <si>
    <t>https://m.tb.cn/h.f6iPoAy?sm=4ea130</t>
    <phoneticPr fontId="1" type="noConversion"/>
  </si>
  <si>
    <t>https://m.tb.cn/h.f7UVXhS?sm=314142</t>
    <phoneticPr fontId="1" type="noConversion"/>
  </si>
  <si>
    <t>尼龙垫片</t>
    <phoneticPr fontId="1" type="noConversion"/>
  </si>
  <si>
    <t>10×16×1-100个</t>
    <phoneticPr fontId="1" type="noConversion"/>
  </si>
  <si>
    <t>塞打螺栓</t>
    <phoneticPr fontId="1" type="noConversion"/>
  </si>
  <si>
    <t>10×35×M8-5个</t>
    <phoneticPr fontId="1" type="noConversion"/>
  </si>
  <si>
    <t>https://m.tb.cn/h.fSgZUbb?sm=cf430d</t>
    <phoneticPr fontId="1" type="noConversion"/>
  </si>
  <si>
    <t>前关节电机限位环</t>
    <phoneticPr fontId="1" type="noConversion"/>
  </si>
  <si>
    <t>打印件</t>
    <phoneticPr fontId="1" type="noConversion"/>
  </si>
  <si>
    <t>尼龙</t>
    <phoneticPr fontId="1" type="noConversion"/>
  </si>
  <si>
    <t>后关节电机限位环</t>
    <phoneticPr fontId="1" type="noConversion"/>
  </si>
  <si>
    <t>关节电机垫高件</t>
    <phoneticPr fontId="1" type="noConversion"/>
  </si>
  <si>
    <t>关节电机</t>
    <phoneticPr fontId="1" type="noConversion"/>
  </si>
  <si>
    <t>HT-03</t>
    <phoneticPr fontId="1" type="noConversion"/>
  </si>
  <si>
    <t>电子设备</t>
    <phoneticPr fontId="1" type="noConversion"/>
  </si>
  <si>
    <t>机体</t>
    <phoneticPr fontId="1" type="noConversion"/>
  </si>
  <si>
    <t>关节电机底板</t>
    <phoneticPr fontId="1" type="noConversion"/>
  </si>
  <si>
    <t>3mm</t>
    <phoneticPr fontId="1" type="noConversion"/>
  </si>
  <si>
    <t>https://m.tb.cn/h.f6iNP4H?sm=e4782d</t>
    <phoneticPr fontId="1" type="noConversion"/>
  </si>
  <si>
    <t>M4×20螺栓</t>
    <phoneticPr fontId="1" type="noConversion"/>
  </si>
  <si>
    <t>M4×16螺栓</t>
    <phoneticPr fontId="1" type="noConversion"/>
  </si>
  <si>
    <t>M4×8螺栓</t>
    <phoneticPr fontId="1" type="noConversion"/>
  </si>
  <si>
    <t>机体前后盖板</t>
    <phoneticPr fontId="1" type="noConversion"/>
  </si>
  <si>
    <t>机体前上盖板</t>
    <phoneticPr fontId="1" type="noConversion"/>
  </si>
  <si>
    <t>2mm</t>
    <phoneticPr fontId="1" type="noConversion"/>
  </si>
  <si>
    <t>机体后上盖板</t>
    <phoneticPr fontId="1" type="noConversion"/>
  </si>
  <si>
    <t>云台底板</t>
    <phoneticPr fontId="1" type="noConversion"/>
  </si>
  <si>
    <t>6mm</t>
    <phoneticPr fontId="1" type="noConversion"/>
  </si>
  <si>
    <t>装甲底板</t>
    <phoneticPr fontId="1" type="noConversion"/>
  </si>
  <si>
    <t>防撞侧板</t>
    <phoneticPr fontId="1" type="noConversion"/>
  </si>
  <si>
    <t>防撞底板</t>
    <phoneticPr fontId="1" type="noConversion"/>
  </si>
  <si>
    <t>M4×30螺栓</t>
    <phoneticPr fontId="1" type="noConversion"/>
  </si>
  <si>
    <t>M4×35螺栓</t>
    <phoneticPr fontId="1" type="noConversion"/>
  </si>
  <si>
    <t>M4×10螺栓</t>
    <phoneticPr fontId="1" type="noConversion"/>
  </si>
  <si>
    <t>机体下侧板</t>
    <phoneticPr fontId="1" type="noConversion"/>
  </si>
  <si>
    <t>机体底板</t>
    <phoneticPr fontId="1" type="noConversion"/>
  </si>
  <si>
    <t>机体下前板</t>
    <phoneticPr fontId="1" type="noConversion"/>
  </si>
  <si>
    <t>机体下后板</t>
    <phoneticPr fontId="1" type="noConversion"/>
  </si>
  <si>
    <t>四孔转接件</t>
    <phoneticPr fontId="1" type="noConversion"/>
  </si>
  <si>
    <t>M3×8螺栓</t>
    <phoneticPr fontId="1" type="noConversion"/>
  </si>
  <si>
    <t>包胶导轮</t>
    <phoneticPr fontId="1" type="noConversion"/>
  </si>
  <si>
    <t>M6×30×9</t>
    <phoneticPr fontId="1" type="noConversion"/>
  </si>
  <si>
    <t>弹簧合页</t>
    <phoneticPr fontId="1" type="noConversion"/>
  </si>
  <si>
    <t>38×31×1</t>
    <phoneticPr fontId="1" type="noConversion"/>
  </si>
  <si>
    <t>M2.5×8螺栓</t>
    <phoneticPr fontId="1" type="noConversion"/>
  </si>
  <si>
    <t xml:space="preserve">https://m.tb.cn/h.f7gHI0i?sm=4c50c7 </t>
    <phoneticPr fontId="1" type="noConversion"/>
  </si>
  <si>
    <t>https://m.tb.cn/h.fS6PhTw?sm=b675fc</t>
    <phoneticPr fontId="1" type="noConversion"/>
  </si>
  <si>
    <t>云台</t>
    <phoneticPr fontId="1" type="noConversion"/>
  </si>
  <si>
    <t>云台电机支承钣金件</t>
    <phoneticPr fontId="1" type="noConversion"/>
  </si>
  <si>
    <t>Robomaster C型开发板</t>
    <phoneticPr fontId="1" type="noConversion"/>
  </si>
  <si>
    <t>https://m.tb.cn/h.fH0pVwe?tk=gR402QconA6</t>
    <phoneticPr fontId="1" type="noConversion"/>
  </si>
  <si>
    <t>TB48S智能电池</t>
    <phoneticPr fontId="1" type="noConversion"/>
  </si>
  <si>
    <t>电调中心板2</t>
    <phoneticPr fontId="1" type="noConversion"/>
  </si>
  <si>
    <t>https://m.tb.cn/h.fH0L4Xu?tk=Dqq72QcouM1</t>
    <phoneticPr fontId="1" type="noConversion"/>
  </si>
  <si>
    <t>https://m.tb.cn/h.fsaGX69?tk=LTjd2QcpADe</t>
    <phoneticPr fontId="1" type="noConversion"/>
  </si>
  <si>
    <t>https://m.tb.cn/h.fsatBVh?tk=oSRg2QcL4hy</t>
    <phoneticPr fontId="1" type="noConversion"/>
  </si>
  <si>
    <t>https://m.tb.cn/h.frYX200?tk=Pw0d2QcpfA1</t>
    <phoneticPr fontId="1" type="noConversion"/>
  </si>
  <si>
    <t>Robomaster 电池架</t>
    <phoneticPr fontId="1" type="noConversion"/>
  </si>
  <si>
    <t>https://m.tb.cn/h.fIaDcJx?tk=u8wM2QcpCv5</t>
    <phoneticPr fontId="1" type="noConversion"/>
  </si>
  <si>
    <t>DT7/DR16遥控器套装</t>
    <phoneticPr fontId="1" type="noConversion"/>
  </si>
  <si>
    <t>https://m.tb.cn/h.fsaGQRw?tk=ssA12QcpQmG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</si>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</sst>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tb.cn/h.f7UVXhS?sm=314142" TargetMode="External"/><Relationship Id="rId13" Type="http://schemas.openxmlformats.org/officeDocument/2006/relationships/hyperlink" Target="https://m.tb.cn/h.f7gHI0i?sm=4c50c7" TargetMode="External"/><Relationship Id="rId18" Type="http://schemas.openxmlformats.org/officeDocument/2006/relationships/hyperlink" Target="https://m.tb.cn/h.fsatBVh?tk=oSRg2QcL4hy" TargetMode="External"/><Relationship Id="rId3" Type="http://schemas.openxmlformats.org/officeDocument/2006/relationships/hyperlink" Target="https://m.tb.cn/h.f7fLQcX?sm=198d1f" TargetMode="External"/><Relationship Id="rId21" Type="http://schemas.openxmlformats.org/officeDocument/2006/relationships/hyperlink" Target="https://m.tb.cn/h.fsaGQRw?tk=ssA12QcpQmG" TargetMode="External"/><Relationship Id="rId7" Type="http://schemas.openxmlformats.org/officeDocument/2006/relationships/hyperlink" Target="https://m.tb.cn/h.f7UVXhS?sm=314142" TargetMode="External"/><Relationship Id="rId12" Type="http://schemas.openxmlformats.org/officeDocument/2006/relationships/hyperlink" Target="https://m.tb.cn/h.f7UVXhS?sm=314142" TargetMode="External"/><Relationship Id="rId17" Type="http://schemas.openxmlformats.org/officeDocument/2006/relationships/hyperlink" Target="https://m.tb.cn/h.fsaGX69?tk=LTjd2QcpADe" TargetMode="External"/><Relationship Id="rId2" Type="http://schemas.openxmlformats.org/officeDocument/2006/relationships/hyperlink" Target="https://m.tb.cn/h.fS5SDFr?sm=2cd5ce" TargetMode="External"/><Relationship Id="rId16" Type="http://schemas.openxmlformats.org/officeDocument/2006/relationships/hyperlink" Target="https://m.tb.cn/h.fH0L4Xu?tk=Dqq72QcouM1" TargetMode="External"/><Relationship Id="rId20" Type="http://schemas.openxmlformats.org/officeDocument/2006/relationships/hyperlink" Target="https://m.tb.cn/h.fIaDcJx?tk=u8wM2QcpCv5" TargetMode="External"/><Relationship Id="rId1" Type="http://schemas.openxmlformats.org/officeDocument/2006/relationships/hyperlink" Target="https://m.tb.cn/h.fS5T7IQ?sm=92c368" TargetMode="External"/><Relationship Id="rId6" Type="http://schemas.openxmlformats.org/officeDocument/2006/relationships/hyperlink" Target="https://m.tb.cn/h.f6iPoAy?sm=4ea130" TargetMode="External"/><Relationship Id="rId11" Type="http://schemas.openxmlformats.org/officeDocument/2006/relationships/hyperlink" Target="https://m.tb.cn/h.f7UVXhS?sm=314142" TargetMode="External"/><Relationship Id="rId5" Type="http://schemas.openxmlformats.org/officeDocument/2006/relationships/hyperlink" Target="https://m.tb.cn/h.fhgt2er?sm=77bc66&#160;" TargetMode="External"/><Relationship Id="rId15" Type="http://schemas.openxmlformats.org/officeDocument/2006/relationships/hyperlink" Target="https://m.tb.cn/h.fH0pVwe?tk=gR402QconA6" TargetMode="External"/><Relationship Id="rId10" Type="http://schemas.openxmlformats.org/officeDocument/2006/relationships/hyperlink" Target="https://m.tb.cn/h.f6iNP4H?sm=e4782d" TargetMode="External"/><Relationship Id="rId19" Type="http://schemas.openxmlformats.org/officeDocument/2006/relationships/hyperlink" Target="https://m.tb.cn/h.frYX200?tk=Pw0d2QcpfA1" TargetMode="External"/><Relationship Id="rId4" Type="http://schemas.openxmlformats.org/officeDocument/2006/relationships/hyperlink" Target="https://m.tb.cn/h.f67zdxH?sm=89bc2b" TargetMode="External"/><Relationship Id="rId9" Type="http://schemas.openxmlformats.org/officeDocument/2006/relationships/hyperlink" Target="https://m.tb.cn/h.fSgZUbb?sm=cf430d" TargetMode="External"/><Relationship Id="rId14" Type="http://schemas.openxmlformats.org/officeDocument/2006/relationships/hyperlink" Target="https://m.tb.cn/h.fS6PhTw?sm=b675fc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G59" sqref="G59"/>
    </sheetView>
  </sheetViews>
  <sheetFormatPr defaultRowHeight="13.9" x14ac:dyDescent="0.4"/>
  <cols>
    <col min="1" max="1" width="9.06640625" style="1"/>
    <col min="2" max="2" width="22.1328125" style="1" customWidth="1"/>
    <col min="3" max="3" width="21.33203125" style="1" customWidth="1"/>
    <col min="4" max="4" width="12.796875" style="1" customWidth="1"/>
    <col min="5" max="7" width="9.06640625" style="1"/>
    <col min="8" max="8" width="40.46484375" style="1" customWidth="1"/>
    <col min="9" max="9" width="9.06640625" style="1"/>
  </cols>
  <sheetData>
    <row r="1" spans="1:9" x14ac:dyDescent="0.4">
      <c r="A1" s="1" t="s">
        <v>1</v>
      </c>
      <c r="B1" s="1" t="s">
        <v>2</v>
      </c>
      <c r="C1" s="1" t="s">
        <v>9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">
      <c r="A2" s="1" t="s">
        <v>8</v>
      </c>
      <c r="B2" s="1" t="s">
        <v>10</v>
      </c>
      <c r="C2" s="1" t="s">
        <v>11</v>
      </c>
      <c r="D2" s="1" t="s">
        <v>12</v>
      </c>
      <c r="E2" s="1">
        <v>358</v>
      </c>
      <c r="F2" s="1">
        <v>2</v>
      </c>
      <c r="G2" s="1">
        <f>E2*F2</f>
        <v>716</v>
      </c>
      <c r="H2" s="2" t="s">
        <v>13</v>
      </c>
    </row>
    <row r="3" spans="1:9" x14ac:dyDescent="0.4">
      <c r="A3" s="1" t="s">
        <v>8</v>
      </c>
      <c r="B3" s="1" t="s">
        <v>14</v>
      </c>
      <c r="D3" s="1" t="s">
        <v>15</v>
      </c>
      <c r="E3" s="1">
        <v>100</v>
      </c>
      <c r="F3" s="1">
        <v>2</v>
      </c>
      <c r="G3" s="1">
        <f t="shared" ref="G3:G58" si="0">E3*F3</f>
        <v>200</v>
      </c>
    </row>
    <row r="4" spans="1:9" x14ac:dyDescent="0.4">
      <c r="A4" s="1" t="s">
        <v>8</v>
      </c>
      <c r="B4" s="1" t="s">
        <v>16</v>
      </c>
      <c r="C4" s="1" t="s">
        <v>17</v>
      </c>
      <c r="D4" s="1" t="s">
        <v>12</v>
      </c>
      <c r="E4" s="1">
        <v>14</v>
      </c>
      <c r="F4" s="1">
        <v>2</v>
      </c>
      <c r="G4" s="1">
        <f t="shared" si="0"/>
        <v>28</v>
      </c>
      <c r="H4" s="2" t="s">
        <v>18</v>
      </c>
    </row>
    <row r="5" spans="1:9" x14ac:dyDescent="0.4">
      <c r="A5" s="1" t="s">
        <v>8</v>
      </c>
      <c r="B5" s="1" t="s">
        <v>19</v>
      </c>
      <c r="C5" s="1" t="s">
        <v>20</v>
      </c>
      <c r="D5" s="1" t="s">
        <v>12</v>
      </c>
      <c r="E5" s="1">
        <v>5.5</v>
      </c>
      <c r="F5" s="1">
        <v>4</v>
      </c>
      <c r="G5" s="1">
        <f t="shared" si="0"/>
        <v>22</v>
      </c>
      <c r="H5" s="2" t="s">
        <v>21</v>
      </c>
    </row>
    <row r="6" spans="1:9" x14ac:dyDescent="0.4">
      <c r="A6" s="1" t="s">
        <v>8</v>
      </c>
      <c r="B6" s="1" t="s">
        <v>22</v>
      </c>
      <c r="D6" s="1" t="s">
        <v>15</v>
      </c>
      <c r="E6" s="1">
        <v>120</v>
      </c>
      <c r="F6" s="1">
        <v>2</v>
      </c>
      <c r="G6" s="1">
        <f t="shared" si="0"/>
        <v>240</v>
      </c>
    </row>
    <row r="7" spans="1:9" x14ac:dyDescent="0.4">
      <c r="A7" s="1" t="s">
        <v>8</v>
      </c>
      <c r="B7" s="1" t="s">
        <v>23</v>
      </c>
      <c r="D7" s="1" t="s">
        <v>15</v>
      </c>
      <c r="E7" s="1">
        <v>75</v>
      </c>
      <c r="F7" s="1">
        <v>2</v>
      </c>
      <c r="G7" s="1">
        <f t="shared" si="0"/>
        <v>150</v>
      </c>
    </row>
    <row r="8" spans="1:9" x14ac:dyDescent="0.4">
      <c r="A8" s="1" t="s">
        <v>8</v>
      </c>
      <c r="B8" s="1" t="s">
        <v>24</v>
      </c>
      <c r="D8" s="1" t="s">
        <v>15</v>
      </c>
      <c r="E8" s="1">
        <v>75</v>
      </c>
      <c r="F8" s="1">
        <v>2</v>
      </c>
      <c r="G8" s="1">
        <f t="shared" si="0"/>
        <v>150</v>
      </c>
    </row>
    <row r="9" spans="1:9" x14ac:dyDescent="0.4">
      <c r="A9" s="1" t="s">
        <v>8</v>
      </c>
      <c r="B9" s="1" t="s">
        <v>25</v>
      </c>
      <c r="C9" s="1" t="s">
        <v>26</v>
      </c>
      <c r="D9" s="1" t="s">
        <v>27</v>
      </c>
      <c r="E9" s="1">
        <v>0</v>
      </c>
      <c r="F9" s="1">
        <v>2</v>
      </c>
      <c r="G9" s="1">
        <f t="shared" si="0"/>
        <v>0</v>
      </c>
    </row>
    <row r="10" spans="1:9" x14ac:dyDescent="0.4">
      <c r="A10" s="1" t="s">
        <v>8</v>
      </c>
      <c r="B10" s="1" t="s">
        <v>28</v>
      </c>
      <c r="C10" s="1" t="s">
        <v>29</v>
      </c>
      <c r="D10" s="1" t="s">
        <v>12</v>
      </c>
      <c r="E10" s="1">
        <v>12.38</v>
      </c>
      <c r="F10" s="1">
        <v>2</v>
      </c>
      <c r="G10" s="1">
        <f t="shared" si="0"/>
        <v>24.76</v>
      </c>
      <c r="H10" s="2" t="s">
        <v>30</v>
      </c>
    </row>
    <row r="11" spans="1:9" x14ac:dyDescent="0.4">
      <c r="A11" s="1" t="s">
        <v>8</v>
      </c>
      <c r="B11" s="1" t="s">
        <v>31</v>
      </c>
      <c r="D11" s="1" t="s">
        <v>65</v>
      </c>
      <c r="E11" s="1">
        <v>499</v>
      </c>
      <c r="F11" s="1">
        <v>2</v>
      </c>
      <c r="G11" s="1">
        <f t="shared" si="0"/>
        <v>998</v>
      </c>
      <c r="H11" s="2" t="s">
        <v>106</v>
      </c>
    </row>
    <row r="12" spans="1:9" x14ac:dyDescent="0.4">
      <c r="A12" s="1" t="s">
        <v>8</v>
      </c>
      <c r="B12" s="1" t="s">
        <v>32</v>
      </c>
      <c r="D12" s="1" t="s">
        <v>65</v>
      </c>
      <c r="E12" s="1">
        <v>399</v>
      </c>
      <c r="F12" s="1">
        <v>2</v>
      </c>
      <c r="G12" s="1">
        <f t="shared" si="0"/>
        <v>798</v>
      </c>
      <c r="H12" s="2" t="s">
        <v>107</v>
      </c>
    </row>
    <row r="13" spans="1:9" x14ac:dyDescent="0.4">
      <c r="A13" s="1" t="s">
        <v>8</v>
      </c>
      <c r="B13" s="1" t="s">
        <v>33</v>
      </c>
      <c r="C13" s="1" t="s">
        <v>34</v>
      </c>
      <c r="D13" s="1" t="s">
        <v>12</v>
      </c>
      <c r="E13" s="1">
        <v>4.2</v>
      </c>
      <c r="F13" s="1">
        <v>1</v>
      </c>
      <c r="G13" s="1">
        <f t="shared" si="0"/>
        <v>4.2</v>
      </c>
      <c r="H13" s="3" t="s">
        <v>52</v>
      </c>
    </row>
    <row r="14" spans="1:9" x14ac:dyDescent="0.4">
      <c r="A14" s="1" t="s">
        <v>8</v>
      </c>
      <c r="B14" s="1" t="s">
        <v>35</v>
      </c>
      <c r="C14" s="1" t="s">
        <v>34</v>
      </c>
      <c r="D14" s="1" t="s">
        <v>12</v>
      </c>
      <c r="E14" s="1">
        <v>4.5</v>
      </c>
      <c r="F14" s="1">
        <v>1</v>
      </c>
      <c r="G14" s="1">
        <f t="shared" si="0"/>
        <v>4.5</v>
      </c>
      <c r="H14" s="4"/>
    </row>
    <row r="15" spans="1:9" x14ac:dyDescent="0.4">
      <c r="A15" s="1" t="s">
        <v>8</v>
      </c>
      <c r="B15" s="1" t="s">
        <v>36</v>
      </c>
      <c r="C15" s="1" t="s">
        <v>34</v>
      </c>
      <c r="D15" s="1" t="s">
        <v>12</v>
      </c>
      <c r="E15" s="1">
        <v>3.8</v>
      </c>
      <c r="F15" s="1">
        <v>1</v>
      </c>
      <c r="G15" s="1">
        <f t="shared" si="0"/>
        <v>3.8</v>
      </c>
      <c r="H15" s="4"/>
    </row>
    <row r="16" spans="1:9" x14ac:dyDescent="0.4">
      <c r="A16" s="1" t="s">
        <v>8</v>
      </c>
      <c r="B16" s="1" t="s">
        <v>37</v>
      </c>
      <c r="C16" s="1" t="s">
        <v>34</v>
      </c>
      <c r="D16" s="1" t="s">
        <v>12</v>
      </c>
      <c r="E16" s="1">
        <v>3.3</v>
      </c>
      <c r="F16" s="1">
        <v>1</v>
      </c>
      <c r="G16" s="1">
        <f t="shared" si="0"/>
        <v>3.3</v>
      </c>
      <c r="H16" s="4"/>
    </row>
    <row r="17" spans="1:8" x14ac:dyDescent="0.4">
      <c r="A17" s="1" t="s">
        <v>8</v>
      </c>
      <c r="B17" s="1" t="s">
        <v>38</v>
      </c>
      <c r="C17" s="1" t="s">
        <v>39</v>
      </c>
      <c r="D17" s="1" t="s">
        <v>12</v>
      </c>
      <c r="E17" s="1">
        <v>3.4</v>
      </c>
      <c r="F17" s="1">
        <v>1</v>
      </c>
      <c r="G17" s="1">
        <f t="shared" si="0"/>
        <v>3.4</v>
      </c>
      <c r="H17" s="4"/>
    </row>
    <row r="18" spans="1:8" x14ac:dyDescent="0.4">
      <c r="A18" s="1" t="s">
        <v>8</v>
      </c>
      <c r="B18" s="1" t="s">
        <v>40</v>
      </c>
      <c r="C18" s="1" t="s">
        <v>34</v>
      </c>
      <c r="D18" s="1" t="s">
        <v>12</v>
      </c>
      <c r="E18" s="1">
        <v>3.6</v>
      </c>
      <c r="F18" s="1">
        <v>1</v>
      </c>
      <c r="G18" s="1">
        <f t="shared" si="0"/>
        <v>3.6</v>
      </c>
      <c r="H18" s="4"/>
    </row>
    <row r="19" spans="1:8" x14ac:dyDescent="0.4">
      <c r="A19" s="1" t="s">
        <v>8</v>
      </c>
      <c r="B19" s="1" t="s">
        <v>49</v>
      </c>
      <c r="C19" s="1" t="s">
        <v>50</v>
      </c>
      <c r="D19" s="1" t="s">
        <v>12</v>
      </c>
      <c r="E19" s="1">
        <v>3.24</v>
      </c>
      <c r="F19" s="1">
        <v>1</v>
      </c>
      <c r="G19" s="1">
        <f t="shared" si="0"/>
        <v>3.24</v>
      </c>
      <c r="H19" s="2" t="s">
        <v>51</v>
      </c>
    </row>
    <row r="20" spans="1:8" x14ac:dyDescent="0.4">
      <c r="A20" s="1" t="s">
        <v>41</v>
      </c>
      <c r="B20" s="1" t="s">
        <v>42</v>
      </c>
      <c r="C20" s="1" t="s">
        <v>43</v>
      </c>
      <c r="D20" s="1" t="s">
        <v>27</v>
      </c>
      <c r="E20" s="1">
        <v>0</v>
      </c>
      <c r="F20" s="1">
        <v>2</v>
      </c>
      <c r="G20" s="1">
        <f t="shared" si="0"/>
        <v>0</v>
      </c>
    </row>
    <row r="21" spans="1:8" x14ac:dyDescent="0.4">
      <c r="A21" s="1" t="s">
        <v>41</v>
      </c>
      <c r="B21" s="1" t="s">
        <v>44</v>
      </c>
      <c r="C21" s="1" t="s">
        <v>43</v>
      </c>
      <c r="D21" s="1" t="s">
        <v>27</v>
      </c>
      <c r="E21" s="1">
        <v>0</v>
      </c>
      <c r="F21" s="1">
        <v>2</v>
      </c>
      <c r="G21" s="1">
        <f t="shared" si="0"/>
        <v>0</v>
      </c>
    </row>
    <row r="22" spans="1:8" x14ac:dyDescent="0.4">
      <c r="A22" s="1" t="s">
        <v>41</v>
      </c>
      <c r="B22" s="1" t="s">
        <v>45</v>
      </c>
      <c r="C22" s="1" t="s">
        <v>43</v>
      </c>
      <c r="D22" s="1" t="s">
        <v>27</v>
      </c>
      <c r="E22" s="1">
        <v>0</v>
      </c>
      <c r="F22" s="1">
        <v>4</v>
      </c>
      <c r="G22" s="1">
        <f t="shared" si="0"/>
        <v>0</v>
      </c>
    </row>
    <row r="23" spans="1:8" x14ac:dyDescent="0.4">
      <c r="A23" s="1" t="s">
        <v>41</v>
      </c>
      <c r="B23" s="1" t="s">
        <v>46</v>
      </c>
      <c r="C23" s="1" t="s">
        <v>47</v>
      </c>
      <c r="D23" s="1" t="s">
        <v>12</v>
      </c>
      <c r="E23" s="1">
        <v>1.6</v>
      </c>
      <c r="F23" s="1">
        <v>16</v>
      </c>
      <c r="G23" s="1">
        <f t="shared" si="0"/>
        <v>25.6</v>
      </c>
      <c r="H23" s="2" t="s">
        <v>48</v>
      </c>
    </row>
    <row r="24" spans="1:8" x14ac:dyDescent="0.4">
      <c r="A24" s="1" t="s">
        <v>41</v>
      </c>
      <c r="B24" s="1" t="s">
        <v>53</v>
      </c>
      <c r="C24" s="1" t="s">
        <v>54</v>
      </c>
      <c r="D24" s="1" t="s">
        <v>12</v>
      </c>
      <c r="E24" s="1">
        <v>8</v>
      </c>
      <c r="F24" s="1">
        <v>1</v>
      </c>
      <c r="G24" s="1">
        <f t="shared" si="0"/>
        <v>8</v>
      </c>
      <c r="H24" s="2" t="s">
        <v>52</v>
      </c>
    </row>
    <row r="25" spans="1:8" x14ac:dyDescent="0.4">
      <c r="A25" s="1" t="s">
        <v>41</v>
      </c>
      <c r="B25" s="1" t="s">
        <v>55</v>
      </c>
      <c r="C25" s="1" t="s">
        <v>56</v>
      </c>
      <c r="D25" s="1" t="s">
        <v>12</v>
      </c>
      <c r="E25" s="1">
        <v>7.8</v>
      </c>
      <c r="F25" s="1">
        <v>1</v>
      </c>
      <c r="G25" s="1">
        <f t="shared" si="0"/>
        <v>7.8</v>
      </c>
      <c r="H25" s="2" t="s">
        <v>57</v>
      </c>
    </row>
    <row r="26" spans="1:8" x14ac:dyDescent="0.4">
      <c r="A26" s="1" t="s">
        <v>41</v>
      </c>
      <c r="B26" s="1" t="s">
        <v>58</v>
      </c>
      <c r="C26" s="1" t="s">
        <v>60</v>
      </c>
      <c r="D26" s="1" t="s">
        <v>59</v>
      </c>
      <c r="E26" s="1">
        <v>0</v>
      </c>
      <c r="F26" s="1">
        <v>2</v>
      </c>
      <c r="G26" s="1">
        <f t="shared" si="0"/>
        <v>0</v>
      </c>
    </row>
    <row r="27" spans="1:8" x14ac:dyDescent="0.4">
      <c r="A27" s="1" t="s">
        <v>41</v>
      </c>
      <c r="B27" s="1" t="s">
        <v>61</v>
      </c>
      <c r="C27" s="1" t="s">
        <v>60</v>
      </c>
      <c r="D27" s="1" t="s">
        <v>59</v>
      </c>
      <c r="E27" s="1">
        <v>0</v>
      </c>
      <c r="F27" s="1">
        <v>2</v>
      </c>
      <c r="G27" s="1">
        <f t="shared" si="0"/>
        <v>0</v>
      </c>
    </row>
    <row r="28" spans="1:8" x14ac:dyDescent="0.4">
      <c r="A28" s="1" t="s">
        <v>41</v>
      </c>
      <c r="B28" s="1" t="s">
        <v>62</v>
      </c>
      <c r="D28" s="1" t="s">
        <v>15</v>
      </c>
      <c r="E28" s="1">
        <v>50</v>
      </c>
      <c r="F28" s="1">
        <v>4</v>
      </c>
      <c r="G28" s="1">
        <f t="shared" si="0"/>
        <v>200</v>
      </c>
    </row>
    <row r="29" spans="1:8" x14ac:dyDescent="0.4">
      <c r="A29" s="1" t="s">
        <v>41</v>
      </c>
      <c r="B29" s="1" t="s">
        <v>63</v>
      </c>
      <c r="C29" s="1" t="s">
        <v>64</v>
      </c>
      <c r="D29" s="1" t="s">
        <v>65</v>
      </c>
      <c r="E29" s="1">
        <v>2388</v>
      </c>
      <c r="F29" s="1">
        <v>4</v>
      </c>
      <c r="G29" s="1">
        <f t="shared" si="0"/>
        <v>9552</v>
      </c>
      <c r="H29" s="2" t="s">
        <v>69</v>
      </c>
    </row>
    <row r="30" spans="1:8" x14ac:dyDescent="0.4">
      <c r="A30" s="1" t="s">
        <v>41</v>
      </c>
      <c r="B30" s="1" t="s">
        <v>70</v>
      </c>
      <c r="C30" s="1" t="s">
        <v>34</v>
      </c>
      <c r="D30" s="1" t="s">
        <v>12</v>
      </c>
      <c r="E30" s="1">
        <v>4.5</v>
      </c>
      <c r="F30" s="1">
        <v>1</v>
      </c>
      <c r="G30" s="1">
        <f t="shared" si="0"/>
        <v>4.5</v>
      </c>
      <c r="H30" s="3" t="s">
        <v>52</v>
      </c>
    </row>
    <row r="31" spans="1:8" x14ac:dyDescent="0.4">
      <c r="A31" s="1" t="s">
        <v>41</v>
      </c>
      <c r="B31" s="1" t="s">
        <v>71</v>
      </c>
      <c r="C31" s="1" t="s">
        <v>34</v>
      </c>
      <c r="D31" s="1" t="s">
        <v>12</v>
      </c>
      <c r="E31" s="1">
        <v>4.2</v>
      </c>
      <c r="F31" s="1">
        <v>1</v>
      </c>
      <c r="G31" s="1">
        <f t="shared" si="0"/>
        <v>4.2</v>
      </c>
      <c r="H31" s="3"/>
    </row>
    <row r="32" spans="1:8" x14ac:dyDescent="0.4">
      <c r="A32" s="1" t="s">
        <v>41</v>
      </c>
      <c r="B32" s="1" t="s">
        <v>72</v>
      </c>
      <c r="C32" s="1" t="s">
        <v>34</v>
      </c>
      <c r="D32" s="1" t="s">
        <v>12</v>
      </c>
      <c r="E32" s="1">
        <v>3.4</v>
      </c>
      <c r="F32" s="1">
        <v>2</v>
      </c>
      <c r="G32" s="1">
        <f t="shared" si="0"/>
        <v>6.8</v>
      </c>
      <c r="H32" s="3"/>
    </row>
    <row r="33" spans="1:8" ht="13.9" customHeight="1" x14ac:dyDescent="0.4">
      <c r="A33" s="1" t="s">
        <v>66</v>
      </c>
      <c r="B33" s="1" t="s">
        <v>67</v>
      </c>
      <c r="C33" s="1" t="s">
        <v>68</v>
      </c>
      <c r="D33" s="1" t="s">
        <v>27</v>
      </c>
      <c r="E33" s="1">
        <v>0</v>
      </c>
      <c r="F33" s="1">
        <v>2</v>
      </c>
      <c r="G33" s="1">
        <f t="shared" si="0"/>
        <v>0</v>
      </c>
      <c r="H33" s="2"/>
    </row>
    <row r="34" spans="1:8" ht="13.9" customHeight="1" x14ac:dyDescent="0.4">
      <c r="A34" s="1" t="s">
        <v>66</v>
      </c>
      <c r="B34" s="1" t="s">
        <v>73</v>
      </c>
      <c r="C34" s="1" t="s">
        <v>68</v>
      </c>
      <c r="D34" s="1" t="s">
        <v>27</v>
      </c>
      <c r="E34" s="1">
        <v>0</v>
      </c>
      <c r="F34" s="1">
        <v>2</v>
      </c>
      <c r="G34" s="1">
        <f t="shared" si="0"/>
        <v>0</v>
      </c>
      <c r="H34" s="2"/>
    </row>
    <row r="35" spans="1:8" ht="13.9" customHeight="1" x14ac:dyDescent="0.4">
      <c r="A35" s="1" t="s">
        <v>66</v>
      </c>
      <c r="B35" s="1" t="s">
        <v>74</v>
      </c>
      <c r="C35" s="1" t="s">
        <v>75</v>
      </c>
      <c r="D35" s="1" t="s">
        <v>27</v>
      </c>
      <c r="E35" s="1">
        <v>0</v>
      </c>
      <c r="F35" s="1">
        <v>1</v>
      </c>
      <c r="G35" s="1">
        <f t="shared" si="0"/>
        <v>0</v>
      </c>
      <c r="H35" s="2"/>
    </row>
    <row r="36" spans="1:8" ht="13.9" customHeight="1" x14ac:dyDescent="0.4">
      <c r="A36" s="1" t="s">
        <v>66</v>
      </c>
      <c r="B36" s="1" t="s">
        <v>76</v>
      </c>
      <c r="C36" s="1" t="s">
        <v>75</v>
      </c>
      <c r="D36" s="1" t="s">
        <v>27</v>
      </c>
      <c r="E36" s="1">
        <v>0</v>
      </c>
      <c r="F36" s="1">
        <v>1</v>
      </c>
      <c r="G36" s="1">
        <f t="shared" si="0"/>
        <v>0</v>
      </c>
      <c r="H36" s="2"/>
    </row>
    <row r="37" spans="1:8" ht="13.9" customHeight="1" x14ac:dyDescent="0.4">
      <c r="A37" s="1" t="s">
        <v>66</v>
      </c>
      <c r="B37" s="1" t="s">
        <v>77</v>
      </c>
      <c r="C37" s="1" t="s">
        <v>78</v>
      </c>
      <c r="D37" s="1" t="s">
        <v>27</v>
      </c>
      <c r="E37" s="1">
        <v>0</v>
      </c>
      <c r="F37" s="1">
        <v>1</v>
      </c>
      <c r="G37" s="1">
        <f t="shared" si="0"/>
        <v>0</v>
      </c>
      <c r="H37" s="2"/>
    </row>
    <row r="38" spans="1:8" ht="13.9" customHeight="1" x14ac:dyDescent="0.4">
      <c r="A38" s="1" t="s">
        <v>66</v>
      </c>
      <c r="B38" s="1" t="s">
        <v>79</v>
      </c>
      <c r="C38" s="1" t="s">
        <v>68</v>
      </c>
      <c r="D38" s="1" t="s">
        <v>27</v>
      </c>
      <c r="E38" s="1">
        <v>0</v>
      </c>
      <c r="F38" s="1">
        <v>2</v>
      </c>
      <c r="G38" s="1">
        <f t="shared" si="0"/>
        <v>0</v>
      </c>
      <c r="H38" s="2"/>
    </row>
    <row r="39" spans="1:8" ht="13.9" customHeight="1" x14ac:dyDescent="0.4">
      <c r="A39" s="1" t="s">
        <v>66</v>
      </c>
      <c r="B39" s="1" t="s">
        <v>80</v>
      </c>
      <c r="C39" s="1" t="s">
        <v>26</v>
      </c>
      <c r="D39" s="1" t="s">
        <v>27</v>
      </c>
      <c r="E39" s="1">
        <v>0</v>
      </c>
      <c r="F39" s="1">
        <v>4</v>
      </c>
      <c r="G39" s="1">
        <f t="shared" si="0"/>
        <v>0</v>
      </c>
      <c r="H39" s="2"/>
    </row>
    <row r="40" spans="1:8" ht="13.9" customHeight="1" x14ac:dyDescent="0.4">
      <c r="A40" s="1" t="s">
        <v>66</v>
      </c>
      <c r="B40" s="1" t="s">
        <v>81</v>
      </c>
      <c r="C40" s="1" t="s">
        <v>68</v>
      </c>
      <c r="D40" s="1" t="s">
        <v>27</v>
      </c>
      <c r="E40" s="1">
        <v>0</v>
      </c>
      <c r="F40" s="1">
        <v>2</v>
      </c>
      <c r="G40" s="1">
        <f t="shared" si="0"/>
        <v>0</v>
      </c>
      <c r="H40" s="2"/>
    </row>
    <row r="41" spans="1:8" ht="13.9" customHeight="1" x14ac:dyDescent="0.4">
      <c r="A41" s="1" t="s">
        <v>66</v>
      </c>
      <c r="B41" s="1" t="s">
        <v>85</v>
      </c>
      <c r="C41" s="1" t="s">
        <v>68</v>
      </c>
      <c r="D41" s="1" t="s">
        <v>27</v>
      </c>
      <c r="E41" s="1">
        <v>0</v>
      </c>
      <c r="F41" s="1">
        <v>2</v>
      </c>
      <c r="G41" s="1">
        <f t="shared" si="0"/>
        <v>0</v>
      </c>
      <c r="H41" s="2"/>
    </row>
    <row r="42" spans="1:8" ht="13.9" customHeight="1" x14ac:dyDescent="0.4">
      <c r="A42" s="1" t="s">
        <v>66</v>
      </c>
      <c r="B42" s="1" t="s">
        <v>87</v>
      </c>
      <c r="C42" s="1" t="s">
        <v>75</v>
      </c>
      <c r="D42" s="1" t="s">
        <v>27</v>
      </c>
      <c r="E42" s="1">
        <v>0</v>
      </c>
      <c r="F42" s="1">
        <v>1</v>
      </c>
      <c r="G42" s="1">
        <f t="shared" si="0"/>
        <v>0</v>
      </c>
      <c r="H42" s="2"/>
    </row>
    <row r="43" spans="1:8" ht="13.9" customHeight="1" x14ac:dyDescent="0.4">
      <c r="A43" s="1" t="s">
        <v>66</v>
      </c>
      <c r="B43" s="1" t="s">
        <v>88</v>
      </c>
      <c r="C43" s="1" t="s">
        <v>75</v>
      </c>
      <c r="D43" s="1" t="s">
        <v>27</v>
      </c>
      <c r="E43" s="1">
        <v>0</v>
      </c>
      <c r="F43" s="1">
        <v>1</v>
      </c>
      <c r="G43" s="1">
        <f t="shared" si="0"/>
        <v>0</v>
      </c>
      <c r="H43" s="2"/>
    </row>
    <row r="44" spans="1:8" ht="13.9" customHeight="1" x14ac:dyDescent="0.4">
      <c r="A44" s="1" t="s">
        <v>66</v>
      </c>
      <c r="B44" s="1" t="s">
        <v>86</v>
      </c>
      <c r="C44" s="1" t="s">
        <v>68</v>
      </c>
      <c r="D44" s="1" t="s">
        <v>27</v>
      </c>
      <c r="E44" s="1">
        <v>0</v>
      </c>
      <c r="F44" s="1">
        <v>1</v>
      </c>
      <c r="G44" s="1">
        <f t="shared" si="0"/>
        <v>0</v>
      </c>
      <c r="H44" s="2"/>
    </row>
    <row r="45" spans="1:8" x14ac:dyDescent="0.4">
      <c r="A45" s="1" t="s">
        <v>66</v>
      </c>
      <c r="B45" s="1" t="s">
        <v>82</v>
      </c>
      <c r="C45" s="1" t="s">
        <v>34</v>
      </c>
      <c r="D45" s="1" t="s">
        <v>12</v>
      </c>
      <c r="E45" s="1">
        <v>6.2</v>
      </c>
      <c r="F45" s="1">
        <v>1</v>
      </c>
      <c r="G45" s="1">
        <f t="shared" si="0"/>
        <v>6.2</v>
      </c>
      <c r="H45" s="3" t="s">
        <v>52</v>
      </c>
    </row>
    <row r="46" spans="1:8" x14ac:dyDescent="0.4">
      <c r="A46" s="1" t="s">
        <v>66</v>
      </c>
      <c r="B46" s="1" t="s">
        <v>83</v>
      </c>
      <c r="C46" s="1" t="s">
        <v>39</v>
      </c>
      <c r="D46" s="1" t="s">
        <v>12</v>
      </c>
      <c r="E46" s="1">
        <v>3.4</v>
      </c>
      <c r="F46" s="1">
        <v>2</v>
      </c>
      <c r="G46" s="1">
        <f t="shared" si="0"/>
        <v>6.8</v>
      </c>
      <c r="H46" s="3"/>
    </row>
    <row r="47" spans="1:8" x14ac:dyDescent="0.4">
      <c r="A47" s="1" t="s">
        <v>66</v>
      </c>
      <c r="B47" s="1" t="s">
        <v>84</v>
      </c>
      <c r="C47" s="1" t="s">
        <v>34</v>
      </c>
      <c r="D47" s="1" t="s">
        <v>12</v>
      </c>
      <c r="E47" s="1">
        <v>3.5</v>
      </c>
      <c r="F47" s="1">
        <v>1</v>
      </c>
      <c r="G47" s="1">
        <f t="shared" si="0"/>
        <v>3.5</v>
      </c>
      <c r="H47" s="3"/>
    </row>
    <row r="48" spans="1:8" x14ac:dyDescent="0.4">
      <c r="A48" s="1" t="s">
        <v>66</v>
      </c>
      <c r="B48" s="1" t="s">
        <v>90</v>
      </c>
      <c r="C48" s="1" t="s">
        <v>34</v>
      </c>
      <c r="D48" s="1" t="s">
        <v>12</v>
      </c>
      <c r="E48" s="1">
        <v>3.2</v>
      </c>
      <c r="F48" s="1">
        <v>2</v>
      </c>
      <c r="G48" s="1">
        <f t="shared" si="0"/>
        <v>6.4</v>
      </c>
      <c r="H48" s="3"/>
    </row>
    <row r="49" spans="1:8" x14ac:dyDescent="0.4">
      <c r="A49" s="1" t="s">
        <v>66</v>
      </c>
      <c r="B49" s="1" t="s">
        <v>95</v>
      </c>
      <c r="C49" s="1" t="s">
        <v>39</v>
      </c>
      <c r="D49" s="1" t="s">
        <v>12</v>
      </c>
      <c r="E49" s="1">
        <v>3</v>
      </c>
      <c r="F49" s="1">
        <v>1</v>
      </c>
      <c r="G49" s="1">
        <f t="shared" si="0"/>
        <v>3</v>
      </c>
      <c r="H49" s="3"/>
    </row>
    <row r="50" spans="1:8" x14ac:dyDescent="0.4">
      <c r="A50" s="1" t="s">
        <v>66</v>
      </c>
      <c r="B50" s="1" t="s">
        <v>89</v>
      </c>
      <c r="D50" s="1" t="s">
        <v>15</v>
      </c>
      <c r="E50" s="1">
        <v>3</v>
      </c>
      <c r="F50" s="1">
        <v>20</v>
      </c>
      <c r="G50" s="1">
        <f t="shared" si="0"/>
        <v>60</v>
      </c>
    </row>
    <row r="51" spans="1:8" x14ac:dyDescent="0.4">
      <c r="A51" s="1" t="s">
        <v>66</v>
      </c>
      <c r="B51" s="1" t="s">
        <v>91</v>
      </c>
      <c r="C51" s="1" t="s">
        <v>92</v>
      </c>
      <c r="D51" s="1" t="s">
        <v>12</v>
      </c>
      <c r="E51" s="1">
        <v>7.5</v>
      </c>
      <c r="F51" s="1">
        <v>4</v>
      </c>
      <c r="G51" s="1">
        <f t="shared" si="0"/>
        <v>30</v>
      </c>
      <c r="H51" s="2" t="s">
        <v>96</v>
      </c>
    </row>
    <row r="52" spans="1:8" x14ac:dyDescent="0.4">
      <c r="A52" s="1" t="s">
        <v>66</v>
      </c>
      <c r="B52" s="1" t="s">
        <v>93</v>
      </c>
      <c r="C52" s="1" t="s">
        <v>94</v>
      </c>
      <c r="D52" s="1" t="s">
        <v>12</v>
      </c>
      <c r="E52" s="1">
        <v>2.88</v>
      </c>
      <c r="F52" s="1">
        <v>4</v>
      </c>
      <c r="G52" s="1">
        <f t="shared" si="0"/>
        <v>11.52</v>
      </c>
      <c r="H52" s="2" t="s">
        <v>97</v>
      </c>
    </row>
    <row r="53" spans="1:8" x14ac:dyDescent="0.4">
      <c r="A53" s="1" t="s">
        <v>66</v>
      </c>
      <c r="B53" s="1" t="s">
        <v>102</v>
      </c>
      <c r="D53" s="1" t="s">
        <v>65</v>
      </c>
      <c r="E53" s="1">
        <v>1599</v>
      </c>
      <c r="F53" s="1">
        <v>1</v>
      </c>
      <c r="G53" s="1">
        <f t="shared" si="0"/>
        <v>1599</v>
      </c>
      <c r="H53" s="2" t="s">
        <v>105</v>
      </c>
    </row>
    <row r="54" spans="1:8" x14ac:dyDescent="0.4">
      <c r="A54" s="1" t="s">
        <v>66</v>
      </c>
      <c r="B54" s="1" t="s">
        <v>103</v>
      </c>
      <c r="D54" s="1" t="s">
        <v>65</v>
      </c>
      <c r="E54" s="1">
        <v>89</v>
      </c>
      <c r="F54" s="1">
        <v>1</v>
      </c>
      <c r="G54" s="1">
        <f t="shared" si="0"/>
        <v>89</v>
      </c>
      <c r="H54" s="2" t="s">
        <v>104</v>
      </c>
    </row>
    <row r="55" spans="1:8" x14ac:dyDescent="0.4">
      <c r="A55" s="1" t="s">
        <v>66</v>
      </c>
      <c r="B55" s="1" t="s">
        <v>108</v>
      </c>
      <c r="D55" s="1" t="s">
        <v>65</v>
      </c>
      <c r="E55" s="1">
        <v>199</v>
      </c>
      <c r="F55" s="1">
        <v>1</v>
      </c>
      <c r="G55" s="1">
        <f t="shared" si="0"/>
        <v>199</v>
      </c>
      <c r="H55" s="2" t="s">
        <v>109</v>
      </c>
    </row>
    <row r="56" spans="1:8" x14ac:dyDescent="0.4">
      <c r="A56" s="1" t="s">
        <v>66</v>
      </c>
      <c r="B56" s="1" t="s">
        <v>110</v>
      </c>
      <c r="D56" s="1" t="s">
        <v>65</v>
      </c>
      <c r="E56" s="1">
        <v>629</v>
      </c>
      <c r="F56" s="1">
        <v>1</v>
      </c>
      <c r="G56" s="1">
        <f t="shared" si="0"/>
        <v>629</v>
      </c>
      <c r="H56" s="2" t="s">
        <v>111</v>
      </c>
    </row>
    <row r="57" spans="1:8" x14ac:dyDescent="0.4">
      <c r="A57" s="1" t="s">
        <v>66</v>
      </c>
      <c r="B57" s="1" t="s">
        <v>100</v>
      </c>
      <c r="D57" s="1" t="s">
        <v>65</v>
      </c>
      <c r="E57" s="1">
        <v>369</v>
      </c>
      <c r="F57" s="1">
        <v>1</v>
      </c>
      <c r="G57" s="1">
        <f t="shared" si="0"/>
        <v>369</v>
      </c>
      <c r="H57" s="2" t="s">
        <v>101</v>
      </c>
    </row>
    <row r="58" spans="1:8" x14ac:dyDescent="0.4">
      <c r="A58" s="1" t="s">
        <v>98</v>
      </c>
      <c r="B58" s="1" t="s">
        <v>99</v>
      </c>
      <c r="D58" s="1" t="s">
        <v>15</v>
      </c>
      <c r="E58" s="1">
        <v>30</v>
      </c>
      <c r="F58" s="1">
        <v>2</v>
      </c>
      <c r="G58" s="1">
        <f t="shared" si="0"/>
        <v>60</v>
      </c>
    </row>
    <row r="59" spans="1:8" x14ac:dyDescent="0.4">
      <c r="F59" s="1" t="s">
        <v>112</v>
      </c>
      <c r="G59" s="1">
        <f>SUM(G2:G58)</f>
        <v>16234.12</v>
      </c>
    </row>
  </sheetData>
  <autoFilter ref="A1:I58" xr:uid="{00000000-0001-0000-0000-000000000000}"/>
  <mergeCells count="3">
    <mergeCell ref="H13:H18"/>
    <mergeCell ref="H30:H32"/>
    <mergeCell ref="H45:H49"/>
  </mergeCells>
  <phoneticPr fontId="1" type="noConversion"/>
  <hyperlinks>
    <hyperlink ref="H2" r:id="rId1" xr:uid="{650BA649-5AA1-426E-AACD-53502813A6AF}"/>
    <hyperlink ref="H4" r:id="rId2" xr:uid="{7F3DF9A3-9C61-49EF-BA1D-BA066A92C38E}"/>
    <hyperlink ref="H5" r:id="rId3" xr:uid="{D44756C3-1A77-46C2-BEC4-A48127564576}"/>
    <hyperlink ref="H10" r:id="rId4" xr:uid="{E56455C9-5809-4FC8-948F-CD3407B57E8C}"/>
    <hyperlink ref="H23" r:id="rId5" xr:uid="{2123CF1F-3B50-4C84-8FE1-8F4327F8298D}"/>
    <hyperlink ref="H19" r:id="rId6" xr:uid="{0E01DBA0-8045-469F-ACD0-17B2DDA39651}"/>
    <hyperlink ref="H13" r:id="rId7" xr:uid="{EF7E8BE6-C501-48ED-8BA2-1F0168D89F70}"/>
    <hyperlink ref="H24" r:id="rId8" xr:uid="{DEB4171C-201E-4883-9D8E-E9FB29527819}"/>
    <hyperlink ref="H25" r:id="rId9" xr:uid="{42AF5F5C-362C-4BD6-BE22-32BC47ACD722}"/>
    <hyperlink ref="H29" r:id="rId10" xr:uid="{1B623010-C3D5-49FC-83C4-9215956A628B}"/>
    <hyperlink ref="H30" r:id="rId11" xr:uid="{252E0D13-8E0C-4640-92BD-8E9FF508D7E0}"/>
    <hyperlink ref="H45" r:id="rId12" xr:uid="{FDD173E7-76C1-4B64-83AE-337FB6BE97D5}"/>
    <hyperlink ref="H51" r:id="rId13" xr:uid="{378E39AA-512C-4659-8BCD-3B6DCCBE27BE}"/>
    <hyperlink ref="H52" r:id="rId14" xr:uid="{0A6EC49B-240E-44A9-AAC2-D40A2B2E760C}"/>
    <hyperlink ref="H57" r:id="rId15" xr:uid="{A05A1D3F-4855-4FE1-83A6-58059B8BADA8}"/>
    <hyperlink ref="H54" r:id="rId16" xr:uid="{02365C81-BF2A-4263-A774-7ABA59FBDC4F}"/>
    <hyperlink ref="H53" r:id="rId17" xr:uid="{693D73D1-FF0B-464C-B6B7-A4D773936511}"/>
    <hyperlink ref="H11" r:id="rId18" xr:uid="{54B1A985-39CD-45D3-BBD8-8BBDB72532C1}"/>
    <hyperlink ref="H12" r:id="rId19" xr:uid="{AF718112-AAB2-471B-A37C-96481F649A6A}"/>
    <hyperlink ref="H55" r:id="rId20" xr:uid="{C25E2183-AC50-4E87-9DD9-28F688CC05B5}"/>
    <hyperlink ref="H56" r:id="rId21" xr:uid="{6D88F695-9C36-4124-A0E5-5046875B8573}"/>
  </hyperlink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solitude</dc:creator>
  <cp:lastModifiedBy>solitude</cp:lastModifiedBy>
  <dcterms:created xsi:type="dcterms:W3CDTF">2015-06-05T18:19:34Z</dcterms:created>
  <dcterms:modified xsi:type="dcterms:W3CDTF">2022-05-06T16:47:13Z</dcterms:modified>
</cp:coreProperties>
</file>